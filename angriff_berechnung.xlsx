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Welle 1 - Ransomware" sheetId="2" state="visible" r:id="rId2"/>
    <sheet name="Welle 2 - OT-Stoerung" sheetId="3" state="visible" r:id="rId3"/>
    <sheet name="Welle 3 - Exfilt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&quot;k EUR&quot;"/>
  </numFmts>
  <fonts count="8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sz val="12"/>
    </font>
    <font>
      <b val="1"/>
      <sz val="16"/>
    </font>
    <font>
      <b val="1"/>
    </font>
    <font>
      <b val="1"/>
      <color rgb="00C00000"/>
      <sz val="12"/>
    </font>
    <font>
      <i val="1"/>
    </font>
  </fonts>
  <fills count="8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FCC"/>
        <bgColor rgb="00FFFF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0" pivotButton="0" quotePrefix="0" xfId="0"/>
    <xf numFmtId="0" fontId="0" fillId="5" borderId="1" pivotButton="0" quotePrefix="0" xfId="0"/>
    <xf numFmtId="2" fontId="0" fillId="5" borderId="1" pivotButton="0" quotePrefix="0" xfId="0"/>
    <xf numFmtId="0" fontId="0" fillId="3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6" fillId="0" borderId="0" pivotButton="0" quotePrefix="0" xfId="0"/>
    <xf numFmtId="164" fontId="6" fillId="7" borderId="1" pivotButton="0" quotePrefix="0" xfId="0"/>
    <xf numFmtId="0" fontId="3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Security Planspiel - Angriffs-Berechnungstabelle</t>
        </is>
      </c>
    </row>
    <row r="3">
      <c r="A3" s="2" t="inlineStr">
        <is>
          <t>Anleitung</t>
        </is>
      </c>
    </row>
    <row r="4">
      <c r="A4" t="inlineStr">
        <is>
          <t>1. Wählen Sie ein Arbeitsblatt für den jeweiligen Angriff (Welle 1, 2 oder 3)</t>
        </is>
      </c>
    </row>
    <row r="5">
      <c r="A5" t="inlineStr">
        <is>
          <t>2. Geben Sie für jede Maßnahme (M1-M10) das gewählte Level ein (0-3)</t>
        </is>
      </c>
    </row>
    <row r="6">
      <c r="A6" t="inlineStr">
        <is>
          <t>3. Die CIA-Werte, Kosten und Berechnungen werden automatisch aktualisiert</t>
        </is>
      </c>
    </row>
    <row r="7">
      <c r="A7" t="inlineStr">
        <is>
          <t>4. Das Ergebnis zeigt den finalen Schweregrad und Schaden nach Mitigation</t>
        </is>
      </c>
    </row>
    <row r="8">
      <c r="A8" t="inlineStr"/>
    </row>
    <row r="9">
      <c r="A9" t="inlineStr">
        <is>
          <t>Die gelb markierten Zellen sind Eingabefelder für die Maßnahmen-Level.</t>
        </is>
      </c>
    </row>
    <row r="10">
      <c r="A10" t="inlineStr">
        <is>
          <t>Die grün markierten Zellen zeigen berechnete Ergebnisse.</t>
        </is>
      </c>
    </row>
    <row r="13">
      <c r="A13" s="2" t="inlineStr">
        <is>
          <t>Angriffs-Übersicht</t>
        </is>
      </c>
    </row>
    <row r="14">
      <c r="A14" s="3" t="inlineStr">
        <is>
          <t>Welle</t>
        </is>
      </c>
      <c r="B14" s="3" t="inlineStr">
        <is>
          <t>Name</t>
        </is>
      </c>
      <c r="C14" s="3" t="inlineStr">
        <is>
          <t>Basis-Schweregrad</t>
        </is>
      </c>
      <c r="D14" s="3" t="inlineStr">
        <is>
          <t>Schadenseinheit</t>
        </is>
      </c>
      <c r="E14" s="3" t="inlineStr">
        <is>
          <t>E-Ziel</t>
        </is>
      </c>
      <c r="F14" s="3" t="inlineStr">
        <is>
          <t>Max Schaden (ohne Mitigation)</t>
        </is>
      </c>
    </row>
    <row r="15">
      <c r="A15" s="4" t="n">
        <v>1</v>
      </c>
      <c r="B15" s="4" t="inlineStr">
        <is>
          <t>Ransomware</t>
        </is>
      </c>
      <c r="C15" s="4" t="n">
        <v>8</v>
      </c>
      <c r="D15" s="4" t="inlineStr">
        <is>
          <t>20k EUR</t>
        </is>
      </c>
      <c r="E15" s="4" t="n">
        <v>15</v>
      </c>
      <c r="F15" s="4" t="inlineStr">
        <is>
          <t>160k EUR</t>
        </is>
      </c>
    </row>
    <row r="16">
      <c r="A16" s="4" t="n">
        <v>2</v>
      </c>
      <c r="B16" s="4" t="inlineStr">
        <is>
          <t>OT-Stoerung</t>
        </is>
      </c>
      <c r="C16" s="4" t="n">
        <v>10</v>
      </c>
      <c r="D16" s="4" t="inlineStr">
        <is>
          <t>32k EUR</t>
        </is>
      </c>
      <c r="E16" s="4" t="n">
        <v>17</v>
      </c>
      <c r="F16" s="4" t="inlineStr">
        <is>
          <t>320k EUR</t>
        </is>
      </c>
    </row>
    <row r="17">
      <c r="A17" s="4" t="n">
        <v>3</v>
      </c>
      <c r="B17" s="4" t="inlineStr">
        <is>
          <t>Exfiltration</t>
        </is>
      </c>
      <c r="C17" s="4" t="n">
        <v>7</v>
      </c>
      <c r="D17" s="4" t="inlineStr">
        <is>
          <t>20k EUR</t>
        </is>
      </c>
      <c r="E17" s="4" t="n">
        <v>19</v>
      </c>
      <c r="F17" s="4" t="inlineStr">
        <is>
          <t>140k EUR</t>
        </is>
      </c>
    </row>
    <row r="20">
      <c r="A20" s="2" t="inlineStr">
        <is>
          <t>Maßnahmen-Übersicht (CIA-Werte pro Level)</t>
        </is>
      </c>
    </row>
    <row r="21">
      <c r="A21" s="3" t="inlineStr">
        <is>
          <t>ID</t>
        </is>
      </c>
      <c r="B21" s="3" t="inlineStr">
        <is>
          <t>Name</t>
        </is>
      </c>
      <c r="C21" s="3" t="inlineStr">
        <is>
          <t>L0 C/I/A</t>
        </is>
      </c>
      <c r="D21" s="3" t="inlineStr">
        <is>
          <t>L1 C/I/A</t>
        </is>
      </c>
      <c r="E21" s="3" t="inlineStr">
        <is>
          <t>L2 C/I/A</t>
        </is>
      </c>
      <c r="F21" s="3" t="inlineStr">
        <is>
          <t>L3 C/I/A</t>
        </is>
      </c>
    </row>
    <row r="22">
      <c r="A22" s="4" t="inlineStr">
        <is>
          <t>M1</t>
        </is>
      </c>
      <c r="B22" s="4" t="inlineStr">
        <is>
          <t>IAM/PAM</t>
        </is>
      </c>
      <c r="C22" s="5" t="inlineStr">
        <is>
          <t>0/0/0</t>
        </is>
      </c>
      <c r="D22" s="5" t="inlineStr">
        <is>
          <t>2/1/0</t>
        </is>
      </c>
      <c r="E22" s="5" t="inlineStr">
        <is>
          <t>4/3/0</t>
        </is>
      </c>
      <c r="F22" s="5" t="inlineStr">
        <is>
          <t>6/5/1</t>
        </is>
      </c>
    </row>
    <row r="23">
      <c r="A23" s="4" t="inlineStr">
        <is>
          <t>M2</t>
        </is>
      </c>
      <c r="B23" s="4" t="inlineStr">
        <is>
          <t>Logging &amp; SIEM/MDR</t>
        </is>
      </c>
      <c r="C23" s="5" t="inlineStr">
        <is>
          <t>0/0/0</t>
        </is>
      </c>
      <c r="D23" s="5" t="inlineStr">
        <is>
          <t>1/3/0</t>
        </is>
      </c>
      <c r="E23" s="5" t="inlineStr">
        <is>
          <t>2/5/1</t>
        </is>
      </c>
      <c r="F23" s="5" t="inlineStr">
        <is>
          <t>3/7/2</t>
        </is>
      </c>
    </row>
    <row r="24">
      <c r="A24" s="4" t="inlineStr">
        <is>
          <t>M3</t>
        </is>
      </c>
      <c r="B24" s="4" t="inlineStr">
        <is>
          <t>EDR/XDR</t>
        </is>
      </c>
      <c r="C24" s="5" t="inlineStr">
        <is>
          <t>0/0/0</t>
        </is>
      </c>
      <c r="D24" s="5" t="inlineStr">
        <is>
          <t>3/2/1</t>
        </is>
      </c>
      <c r="E24" s="5" t="inlineStr">
        <is>
          <t>5/4/2</t>
        </is>
      </c>
      <c r="F24" s="5" t="inlineStr">
        <is>
          <t>7/6/3</t>
        </is>
      </c>
    </row>
    <row r="25">
      <c r="A25" s="4" t="inlineStr">
        <is>
          <t>M4</t>
        </is>
      </c>
      <c r="B25" s="4" t="inlineStr">
        <is>
          <t>Backup &amp; Disaster Recovery</t>
        </is>
      </c>
      <c r="C25" s="5" t="inlineStr">
        <is>
          <t>0/0/0</t>
        </is>
      </c>
      <c r="D25" s="5" t="inlineStr">
        <is>
          <t>0/4/3</t>
        </is>
      </c>
      <c r="E25" s="5" t="inlineStr">
        <is>
          <t>1/6/5</t>
        </is>
      </c>
      <c r="F25" s="5" t="inlineStr">
        <is>
          <t>1/8/7</t>
        </is>
      </c>
    </row>
    <row r="26">
      <c r="A26" s="4" t="inlineStr">
        <is>
          <t>M5</t>
        </is>
      </c>
      <c r="B26" s="4" t="inlineStr">
        <is>
          <t>OT/IT-Netz-Segmentierung</t>
        </is>
      </c>
      <c r="C26" s="5" t="inlineStr">
        <is>
          <t>0/0/0</t>
        </is>
      </c>
      <c r="D26" s="5" t="inlineStr">
        <is>
          <t>2/1/4</t>
        </is>
      </c>
      <c r="E26" s="5" t="inlineStr">
        <is>
          <t>3/2/6</t>
        </is>
      </c>
      <c r="F26" s="5" t="inlineStr">
        <is>
          <t>4/3/8</t>
        </is>
      </c>
    </row>
    <row r="27">
      <c r="A27" s="4" t="inlineStr">
        <is>
          <t>M6</t>
        </is>
      </c>
      <c r="B27" s="4" t="inlineStr">
        <is>
          <t>Security Awareness &amp; Training</t>
        </is>
      </c>
      <c r="C27" s="5" t="inlineStr">
        <is>
          <t>0/0/0</t>
        </is>
      </c>
      <c r="D27" s="5" t="inlineStr">
        <is>
          <t>2/1/1</t>
        </is>
      </c>
      <c r="E27" s="5" t="inlineStr">
        <is>
          <t>3/2/2</t>
        </is>
      </c>
      <c r="F27" s="5" t="inlineStr">
        <is>
          <t>5/3/3</t>
        </is>
      </c>
    </row>
    <row r="28">
      <c r="A28" s="4" t="inlineStr">
        <is>
          <t>M7</t>
        </is>
      </c>
      <c r="B28" s="4" t="inlineStr">
        <is>
          <t>Vulnerability &amp; Patch Management</t>
        </is>
      </c>
      <c r="C28" s="5" t="inlineStr">
        <is>
          <t>0/0/0</t>
        </is>
      </c>
      <c r="D28" s="5" t="inlineStr">
        <is>
          <t>2/3/2</t>
        </is>
      </c>
      <c r="E28" s="5" t="inlineStr">
        <is>
          <t>4/5/3</t>
        </is>
      </c>
      <c r="F28" s="5" t="inlineStr">
        <is>
          <t>6/7/4</t>
        </is>
      </c>
    </row>
    <row r="29">
      <c r="A29" s="4" t="inlineStr">
        <is>
          <t>M8</t>
        </is>
      </c>
      <c r="B29" s="4" t="inlineStr">
        <is>
          <t>Supplier Security &amp; Supply Chain</t>
        </is>
      </c>
      <c r="C29" s="5" t="inlineStr">
        <is>
          <t>0/0/0</t>
        </is>
      </c>
      <c r="D29" s="5" t="inlineStr">
        <is>
          <t>1/2/2</t>
        </is>
      </c>
      <c r="E29" s="5" t="inlineStr">
        <is>
          <t>2/4/4</t>
        </is>
      </c>
      <c r="F29" s="5" t="inlineStr">
        <is>
          <t>3/6/6</t>
        </is>
      </c>
    </row>
    <row r="30">
      <c r="A30" s="4" t="inlineStr">
        <is>
          <t>M9</t>
        </is>
      </c>
      <c r="B30" s="4" t="inlineStr">
        <is>
          <t>Cloud Security (CSPM)</t>
        </is>
      </c>
      <c r="C30" s="5" t="inlineStr">
        <is>
          <t>0/0/0</t>
        </is>
      </c>
      <c r="D30" s="5" t="inlineStr">
        <is>
          <t>2/2/1</t>
        </is>
      </c>
      <c r="E30" s="5" t="inlineStr">
        <is>
          <t>3/3/2</t>
        </is>
      </c>
      <c r="F30" s="5" t="inlineStr">
        <is>
          <t>4/4/3</t>
        </is>
      </c>
    </row>
    <row r="31">
      <c r="A31" s="4" t="inlineStr">
        <is>
          <t>M10</t>
        </is>
      </c>
      <c r="B31" s="4" t="inlineStr">
        <is>
          <t>Mobile Device Management (MDM)</t>
        </is>
      </c>
      <c r="C31" s="5" t="inlineStr">
        <is>
          <t>0/0/0</t>
        </is>
      </c>
      <c r="D31" s="5" t="inlineStr">
        <is>
          <t>1/1/0</t>
        </is>
      </c>
      <c r="E31" s="5" t="inlineStr">
        <is>
          <t>2/2/1</t>
        </is>
      </c>
      <c r="F31" s="5" t="inlineStr">
        <is>
          <t>3/3/2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0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Angriff Welle 1: Ransomware</t>
        </is>
      </c>
    </row>
    <row r="3">
      <c r="A3" s="2" t="inlineStr">
        <is>
          <t>Angriffsparameter</t>
        </is>
      </c>
    </row>
    <row r="4">
      <c r="A4" s="7" t="inlineStr">
        <is>
          <t>Basis-Schweregrad:</t>
        </is>
      </c>
      <c r="B4" s="8" t="n">
        <v>8</v>
      </c>
      <c r="C4" t="inlineStr">
        <is>
          <t>Schadenseinheit: 20k EUR</t>
        </is>
      </c>
    </row>
    <row r="5">
      <c r="A5" s="7" t="inlineStr">
        <is>
          <t>Mitigation Cap:</t>
        </is>
      </c>
      <c r="B5" s="8" t="n">
        <v>8</v>
      </c>
      <c r="C5" t="inlineStr">
        <is>
          <t>Recovery erlaubt: Ja</t>
        </is>
      </c>
    </row>
    <row r="6">
      <c r="A6" s="7" t="inlineStr">
        <is>
          <t>CIA-Gewichtung:</t>
        </is>
      </c>
      <c r="B6" s="8" t="inlineStr">
        <is>
          <t>C=0.4, I=0.4, A=0.2</t>
        </is>
      </c>
    </row>
    <row r="7">
      <c r="A7" s="7" t="inlineStr">
        <is>
          <t>E-Wert Ziel:</t>
        </is>
      </c>
      <c r="B7" s="8" t="n">
        <v>15</v>
      </c>
      <c r="C7" t="inlineStr">
        <is>
          <t>KZ Bonus/Malus: +5 / -3</t>
        </is>
      </c>
    </row>
    <row r="9">
      <c r="A9" s="2" t="inlineStr">
        <is>
          <t>Bonus-Maßnahmen für diesen Angriff:</t>
        </is>
      </c>
    </row>
    <row r="10">
      <c r="A10" s="9" t="inlineStr">
        <is>
          <t>M3 (min. Level 2): +2 Reduktion</t>
        </is>
      </c>
      <c r="B10" t="inlineStr">
        <is>
          <t>EDR/XDR erkennt Ransomware früh</t>
        </is>
      </c>
    </row>
    <row r="11">
      <c r="A11" s="9" t="inlineStr">
        <is>
          <t>M4 (min. Level 2): +2 Reduktion</t>
        </is>
      </c>
      <c r="B11" t="inlineStr">
        <is>
          <t>Backup ermöglicht schnelle Wiederherstellung</t>
        </is>
      </c>
    </row>
    <row r="12">
      <c r="A12" s="9" t="inlineStr">
        <is>
          <t>M6 (min. Level 2): +1 Reduktion</t>
        </is>
      </c>
      <c r="B12" t="inlineStr">
        <is>
          <t>Geschulte Mitarbeiter erkennen Phishing</t>
        </is>
      </c>
    </row>
    <row r="15">
      <c r="A15" s="2" t="inlineStr">
        <is>
          <t>Maßnahmen-Eingabe</t>
        </is>
      </c>
    </row>
    <row r="16">
      <c r="A16" s="10" t="inlineStr">
        <is>
          <t>Maßnahme</t>
        </is>
      </c>
      <c r="B16" s="10" t="inlineStr">
        <is>
          <t>Name</t>
        </is>
      </c>
      <c r="C16" s="10" t="inlineStr">
        <is>
          <t>Level</t>
        </is>
      </c>
      <c r="D16" s="11" t="inlineStr">
        <is>
          <t>C</t>
        </is>
      </c>
      <c r="E16" s="12" t="inlineStr">
        <is>
          <t>I</t>
        </is>
      </c>
      <c r="F16" s="13" t="inlineStr">
        <is>
          <t>A</t>
        </is>
      </c>
      <c r="G16" s="10" t="inlineStr">
        <is>
          <t>Init (k€)</t>
        </is>
      </c>
      <c r="H16" s="10" t="inlineStr">
        <is>
          <t>OPEX (k€)</t>
        </is>
      </c>
      <c r="I16" s="10" t="inlineStr">
        <is>
          <t>Recovery</t>
        </is>
      </c>
    </row>
    <row r="17">
      <c r="A17" s="4" t="inlineStr">
        <is>
          <t>M1</t>
        </is>
      </c>
      <c r="B17" s="4" t="inlineStr">
        <is>
          <t>IAM/PAM</t>
        </is>
      </c>
      <c r="C17" s="14" t="n">
        <v>0</v>
      </c>
      <c r="D17" s="15">
        <f>CHOOSE($C$17+1,0,2,4,6)</f>
        <v/>
      </c>
      <c r="E17" s="16">
        <f>CHOOSE($C$17+1,0,1,3,5)</f>
        <v/>
      </c>
      <c r="F17" s="17">
        <f>CHOOSE($C$17+1,0,0,0,1)</f>
        <v/>
      </c>
      <c r="G17" s="5">
        <f>CHOOSE($C$17+1,0,30,60,100)</f>
        <v/>
      </c>
      <c r="H17" s="5">
        <f>CHOOSE($C$17+1,0,4,10,20)</f>
        <v/>
      </c>
      <c r="I17" s="5">
        <f>CHOOSE($C$17+1,0,0,0,0)</f>
        <v/>
      </c>
    </row>
    <row r="18">
      <c r="A18" s="4" t="inlineStr">
        <is>
          <t>M2</t>
        </is>
      </c>
      <c r="B18" s="4" t="inlineStr">
        <is>
          <t>Logging &amp; SIEM/MDR</t>
        </is>
      </c>
      <c r="C18" s="14" t="n">
        <v>0</v>
      </c>
      <c r="D18" s="15">
        <f>CHOOSE($C$18+1,0,1,2,3)</f>
        <v/>
      </c>
      <c r="E18" s="16">
        <f>CHOOSE($C$18+1,0,3,5,7)</f>
        <v/>
      </c>
      <c r="F18" s="17">
        <f>CHOOSE($C$18+1,0,0,1,2)</f>
        <v/>
      </c>
      <c r="G18" s="5">
        <f>CHOOSE($C$18+1,0,20,50,80)</f>
        <v/>
      </c>
      <c r="H18" s="5">
        <f>CHOOSE($C$18+1,0,2,8,24)</f>
        <v/>
      </c>
      <c r="I18" s="5">
        <f>CHOOSE($C$18+1,0,0,0,0)</f>
        <v/>
      </c>
    </row>
    <row r="19">
      <c r="A19" s="4" t="inlineStr">
        <is>
          <t>M3</t>
        </is>
      </c>
      <c r="B19" s="4" t="inlineStr">
        <is>
          <t>EDR/XDR</t>
        </is>
      </c>
      <c r="C19" s="14" t="n">
        <v>0</v>
      </c>
      <c r="D19" s="15">
        <f>CHOOSE($C$19+1,0,3,5,7)</f>
        <v/>
      </c>
      <c r="E19" s="16">
        <f>CHOOSE($C$19+1,0,2,4,6)</f>
        <v/>
      </c>
      <c r="F19" s="17">
        <f>CHOOSE($C$19+1,0,1,2,3)</f>
        <v/>
      </c>
      <c r="G19" s="5">
        <f>CHOOSE($C$19+1,0,24,56,90)</f>
        <v/>
      </c>
      <c r="H19" s="5">
        <f>CHOOSE($C$19+1,0,4,10,18)</f>
        <v/>
      </c>
      <c r="I19" s="5">
        <f>CHOOSE($C$19+1,0,0,0,0)</f>
        <v/>
      </c>
    </row>
    <row r="20">
      <c r="A20" s="4" t="inlineStr">
        <is>
          <t>M4</t>
        </is>
      </c>
      <c r="B20" s="4" t="inlineStr">
        <is>
          <t>Backup &amp; Disaster Recovery</t>
        </is>
      </c>
      <c r="C20" s="14" t="n">
        <v>0</v>
      </c>
      <c r="D20" s="15">
        <f>CHOOSE($C$20+1,0,0,1,1)</f>
        <v/>
      </c>
      <c r="E20" s="16">
        <f>CHOOSE($C$20+1,0,4,6,8)</f>
        <v/>
      </c>
      <c r="F20" s="17">
        <f>CHOOSE($C$20+1,0,3,5,7)</f>
        <v/>
      </c>
      <c r="G20" s="5">
        <f>CHOOSE($C$20+1,0,16,40,80)</f>
        <v/>
      </c>
      <c r="H20" s="5">
        <f>CHOOSE($C$20+1,0,6,12,20)</f>
        <v/>
      </c>
      <c r="I20" s="5">
        <f>CHOOSE($C$20+1,0,0.1,0.3,0.5)</f>
        <v/>
      </c>
    </row>
    <row r="21">
      <c r="A21" s="4" t="inlineStr">
        <is>
          <t>M5</t>
        </is>
      </c>
      <c r="B21" s="4" t="inlineStr">
        <is>
          <t>OT/IT-Netz-Segmentierung</t>
        </is>
      </c>
      <c r="C21" s="14" t="n">
        <v>0</v>
      </c>
      <c r="D21" s="15">
        <f>CHOOSE($C$21+1,0,2,3,4)</f>
        <v/>
      </c>
      <c r="E21" s="16">
        <f>CHOOSE($C$21+1,0,1,2,3)</f>
        <v/>
      </c>
      <c r="F21" s="17">
        <f>CHOOSE($C$21+1,0,4,6,8)</f>
        <v/>
      </c>
      <c r="G21" s="5">
        <f>CHOOSE($C$21+1,0,40,70,110)</f>
        <v/>
      </c>
      <c r="H21" s="5">
        <f>CHOOSE($C$21+1,0,2,6,12)</f>
        <v/>
      </c>
      <c r="I21" s="5">
        <f>CHOOSE($C$21+1,0,0,0,0)</f>
        <v/>
      </c>
    </row>
    <row r="22">
      <c r="A22" s="4" t="inlineStr">
        <is>
          <t>M6</t>
        </is>
      </c>
      <c r="B22" s="4" t="inlineStr">
        <is>
          <t>Security Awareness &amp; Training</t>
        </is>
      </c>
      <c r="C22" s="14" t="n">
        <v>0</v>
      </c>
      <c r="D22" s="15">
        <f>CHOOSE($C$22+1,0,2,3,5)</f>
        <v/>
      </c>
      <c r="E22" s="16">
        <f>CHOOSE($C$22+1,0,1,2,3)</f>
        <v/>
      </c>
      <c r="F22" s="17">
        <f>CHOOSE($C$22+1,0,1,2,3)</f>
        <v/>
      </c>
      <c r="G22" s="5">
        <f>CHOOSE($C$22+1,0,10,24,40)</f>
        <v/>
      </c>
      <c r="H22" s="5">
        <f>CHOOSE($C$22+1,0,2,6,10)</f>
        <v/>
      </c>
      <c r="I22" s="5">
        <f>CHOOSE($C$22+1,0,0,0,0)</f>
        <v/>
      </c>
    </row>
    <row r="23">
      <c r="A23" s="4" t="inlineStr">
        <is>
          <t>M7</t>
        </is>
      </c>
      <c r="B23" s="4" t="inlineStr">
        <is>
          <t>Vulnerability &amp; Patch Management</t>
        </is>
      </c>
      <c r="C23" s="14" t="n">
        <v>0</v>
      </c>
      <c r="D23" s="15">
        <f>CHOOSE($C$23+1,0,2,4,6)</f>
        <v/>
      </c>
      <c r="E23" s="16">
        <f>CHOOSE($C$23+1,0,3,5,7)</f>
        <v/>
      </c>
      <c r="F23" s="17">
        <f>CHOOSE($C$23+1,0,2,3,4)</f>
        <v/>
      </c>
      <c r="G23" s="5">
        <f>CHOOSE($C$23+1,0,20,44,76)</f>
        <v/>
      </c>
      <c r="H23" s="5">
        <f>CHOOSE($C$23+1,0,4,8,14)</f>
        <v/>
      </c>
      <c r="I23" s="5">
        <f>CHOOSE($C$23+1,0,0,0,0)</f>
        <v/>
      </c>
    </row>
    <row r="24">
      <c r="A24" s="4" t="inlineStr">
        <is>
          <t>M8</t>
        </is>
      </c>
      <c r="B24" s="4" t="inlineStr">
        <is>
          <t>Supplier Security &amp; Supply Chain</t>
        </is>
      </c>
      <c r="C24" s="14" t="n">
        <v>0</v>
      </c>
      <c r="D24" s="15">
        <f>CHOOSE($C$24+1,0,1,2,3)</f>
        <v/>
      </c>
      <c r="E24" s="16">
        <f>CHOOSE($C$24+1,0,2,4,6)</f>
        <v/>
      </c>
      <c r="F24" s="17">
        <f>CHOOSE($C$24+1,0,2,4,6)</f>
        <v/>
      </c>
      <c r="G24" s="5">
        <f>CHOOSE($C$24+1,0,16,36,70)</f>
        <v/>
      </c>
      <c r="H24" s="5">
        <f>CHOOSE($C$24+1,0,4,8,16)</f>
        <v/>
      </c>
      <c r="I24" s="5">
        <f>CHOOSE($C$24+1,0,0,0,0)</f>
        <v/>
      </c>
    </row>
    <row r="25">
      <c r="A25" s="4" t="inlineStr">
        <is>
          <t>M9</t>
        </is>
      </c>
      <c r="B25" s="4" t="inlineStr">
        <is>
          <t>Cloud Security (CSPM)</t>
        </is>
      </c>
      <c r="C25" s="14" t="n">
        <v>0</v>
      </c>
      <c r="D25" s="15">
        <f>CHOOSE($C$25+1,0,2,3,4)</f>
        <v/>
      </c>
      <c r="E25" s="16">
        <f>CHOOSE($C$25+1,0,2,3,4)</f>
        <v/>
      </c>
      <c r="F25" s="17">
        <f>CHOOSE($C$25+1,0,1,2,3)</f>
        <v/>
      </c>
      <c r="G25" s="5">
        <f>CHOOSE($C$25+1,0,18,40,70)</f>
        <v/>
      </c>
      <c r="H25" s="5">
        <f>CHOOSE($C$25+1,0,3,7,14)</f>
        <v/>
      </c>
      <c r="I25" s="5">
        <f>CHOOSE($C$25+1,0,0,0,0)</f>
        <v/>
      </c>
    </row>
    <row r="26">
      <c r="A26" s="4" t="inlineStr">
        <is>
          <t>M10</t>
        </is>
      </c>
      <c r="B26" s="4" t="inlineStr">
        <is>
          <t>Mobile Device Management (MDM)</t>
        </is>
      </c>
      <c r="C26" s="14" t="n">
        <v>0</v>
      </c>
      <c r="D26" s="15">
        <f>CHOOSE($C$26+1,0,1,2,3)</f>
        <v/>
      </c>
      <c r="E26" s="16">
        <f>CHOOSE($C$26+1,0,1,2,3)</f>
        <v/>
      </c>
      <c r="F26" s="17">
        <f>CHOOSE($C$26+1,0,0,1,2)</f>
        <v/>
      </c>
      <c r="G26" s="5">
        <f>CHOOSE($C$26+1,0,12,28,50)</f>
        <v/>
      </c>
      <c r="H26" s="5">
        <f>CHOOSE($C$26+1,0,2,5,10)</f>
        <v/>
      </c>
      <c r="I26" s="5">
        <f>CHOOSE($C$26+1,0,0,0,0)</f>
        <v/>
      </c>
    </row>
    <row r="27">
      <c r="A27" s="3" t="inlineStr">
        <is>
          <t>SUMME</t>
        </is>
      </c>
      <c r="B27" s="4" t="n"/>
      <c r="C27" s="4" t="n"/>
      <c r="D27" s="11">
        <f>SUM(D17:D26)</f>
        <v/>
      </c>
      <c r="E27" s="12">
        <f>SUM(E17:E26)</f>
        <v/>
      </c>
      <c r="F27" s="13">
        <f>SUM(F17:F26)</f>
        <v/>
      </c>
      <c r="G27" s="10">
        <f>SUM(G17:G26)</f>
        <v/>
      </c>
      <c r="H27" s="10">
        <f>SUM(H17:H26)</f>
        <v/>
      </c>
      <c r="I27" s="10">
        <f>MAX(I17:I26)</f>
        <v/>
      </c>
    </row>
    <row r="30">
      <c r="A30" s="2" t="inlineStr">
        <is>
          <t>Berechnungsergebnis</t>
        </is>
      </c>
    </row>
    <row r="31">
      <c r="A31" s="18" t="inlineStr">
        <is>
          <t>Basis-CIA:</t>
        </is>
      </c>
      <c r="B31" t="inlineStr">
        <is>
          <t>C=10, I=10, A=10</t>
        </is>
      </c>
    </row>
    <row r="32">
      <c r="A32" s="18" t="inlineStr">
        <is>
          <t>Team CIA (Basis + Maßnahmen):</t>
        </is>
      </c>
      <c r="B32" t="inlineStr">
        <is>
          <t>C:</t>
        </is>
      </c>
      <c r="C32" s="19">
        <f>10+D27</f>
        <v/>
      </c>
      <c r="D32" t="inlineStr">
        <is>
          <t>I:</t>
        </is>
      </c>
      <c r="E32" s="19">
        <f>10+E27</f>
        <v/>
      </c>
      <c r="F32" t="inlineStr">
        <is>
          <t>A:</t>
        </is>
      </c>
      <c r="G32" s="19">
        <f>10+F27</f>
        <v/>
      </c>
    </row>
    <row r="34">
      <c r="A34" s="18" t="inlineStr">
        <is>
          <t>E-Wert Berechnung:</t>
        </is>
      </c>
      <c r="B34" t="inlineStr">
        <is>
          <t>(0.4×C) + (0.4×I) + (0.2×A)</t>
        </is>
      </c>
    </row>
    <row r="35">
      <c r="A35" s="18" t="inlineStr">
        <is>
          <t>E-Wert:</t>
        </is>
      </c>
      <c r="B35" s="20">
        <f>(0.4*C32)+(0.4*E32)+(0.2*G32)</f>
        <v/>
      </c>
      <c r="C35" t="inlineStr">
        <is>
          <t>Ziel: 15</t>
        </is>
      </c>
      <c r="D35" t="inlineStr">
        <is>
          <t>Erreicht:</t>
        </is>
      </c>
      <c r="E35" s="19">
        <f>IF(B35&gt;=15,"JA","NEIN")</f>
        <v/>
      </c>
    </row>
    <row r="37">
      <c r="A37" s="18" t="inlineStr">
        <is>
          <t>Bonus-Reduktion (spezifische Maßnahmen):</t>
        </is>
      </c>
    </row>
    <row r="38">
      <c r="A38" s="18" t="inlineStr">
        <is>
          <t>Bonus-Reduktion:</t>
        </is>
      </c>
      <c r="B38" s="21">
        <f>IF(C19&gt;=2,2,0)+IF(C20&gt;=2,2,0)+IF(C22&gt;=2,1,0)</f>
        <v/>
      </c>
    </row>
    <row r="40">
      <c r="A40" s="18" t="inlineStr">
        <is>
          <t>E-Wert Reduktion:</t>
        </is>
      </c>
      <c r="B40">
        <f>MAX(0,(B35-15)/1)</f>
        <v/>
      </c>
    </row>
    <row r="41">
      <c r="A41" s="18" t="inlineStr">
        <is>
          <t>Gesamt-Reduktion:</t>
        </is>
      </c>
      <c r="B41" s="4">
        <f>B40+B38</f>
        <v/>
      </c>
    </row>
    <row r="42">
      <c r="A42" s="18" t="inlineStr">
        <is>
          <t>Reduktion (mit Cap):</t>
        </is>
      </c>
      <c r="B42" s="19">
        <f>MIN(B41,8)</f>
        <v/>
      </c>
    </row>
    <row r="44">
      <c r="A44" s="18" t="inlineStr">
        <is>
          <t>Finaler Schweregrad:</t>
        </is>
      </c>
      <c r="B44" s="19">
        <f>MAX(0,8-B42)</f>
        <v/>
      </c>
    </row>
    <row r="45">
      <c r="A45" s="18" t="inlineStr">
        <is>
          <t>Schaden (vor Recovery):</t>
        </is>
      </c>
      <c r="B45" s="22">
        <f>B44*20</f>
        <v/>
      </c>
    </row>
    <row r="46">
      <c r="A46" s="18" t="inlineStr">
        <is>
          <t>Recovery-Faktor:</t>
        </is>
      </c>
      <c r="B46" s="23">
        <f>I27</f>
        <v/>
      </c>
    </row>
    <row r="47">
      <c r="A47" s="24" t="inlineStr">
        <is>
          <t>Schaden (nach Recovery):</t>
        </is>
      </c>
      <c r="B47" s="25">
        <f>B45*(1-B46)</f>
        <v/>
      </c>
    </row>
    <row r="49">
      <c r="A49" s="2" t="inlineStr">
        <is>
          <t>Kundenvertrauen (KZ) Impact:</t>
        </is>
      </c>
    </row>
    <row r="50">
      <c r="A50" s="18" t="inlineStr">
        <is>
          <t>KZ-Verlust durch Angriff:</t>
        </is>
      </c>
      <c r="B50" s="4">
        <f>-B44*2</f>
        <v/>
      </c>
    </row>
    <row r="51">
      <c r="A51" s="18" t="inlineStr">
        <is>
          <t>KZ E-Wert Bonus/Malus:</t>
        </is>
      </c>
      <c r="B51" s="4">
        <f>IF(B35&gt;=15,5,-3)</f>
        <v/>
      </c>
    </row>
    <row r="52">
      <c r="A52" s="18" t="inlineStr">
        <is>
          <t>Gesamt KZ-Delta:</t>
        </is>
      </c>
      <c r="B52" s="26">
        <f>B50+B51</f>
        <v/>
      </c>
    </row>
    <row r="54">
      <c r="A54" s="2" t="inlineStr">
        <is>
          <t>Kosten:</t>
        </is>
      </c>
    </row>
    <row r="55">
      <c r="A55" s="18" t="inlineStr">
        <is>
          <t>Initiale Investition:</t>
        </is>
      </c>
      <c r="B55" s="22">
        <f>G27</f>
        <v/>
      </c>
    </row>
    <row r="56">
      <c r="A56" s="18" t="inlineStr">
        <is>
          <t>OPEX pro Welle:</t>
        </is>
      </c>
      <c r="B56" s="22">
        <f>H27</f>
        <v/>
      </c>
    </row>
  </sheetData>
  <mergeCells count="1">
    <mergeCell ref="A1:L1"/>
  </mergeCells>
  <dataValidations count="1">
    <dataValidation sqref="C17 C18 C19 C20 C21 C22 C23 C24 C25 C26" showDropDown="0" showInputMessage="0" showErrorMessage="0" allowBlank="0" errorTitle="Ungültiger Level" error="Bitte einen Wert zwischen 0 und 3 eingeben." type="whole" operator="between">
      <formula1>0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0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Angriff Welle 2: OT-Stoerung</t>
        </is>
      </c>
    </row>
    <row r="3">
      <c r="A3" s="2" t="inlineStr">
        <is>
          <t>Angriffsparameter</t>
        </is>
      </c>
    </row>
    <row r="4">
      <c r="A4" s="7" t="inlineStr">
        <is>
          <t>Basis-Schweregrad:</t>
        </is>
      </c>
      <c r="B4" s="8" t="n">
        <v>10</v>
      </c>
      <c r="C4" t="inlineStr">
        <is>
          <t>Schadenseinheit: 32k EUR</t>
        </is>
      </c>
    </row>
    <row r="5">
      <c r="A5" s="7" t="inlineStr">
        <is>
          <t>Mitigation Cap:</t>
        </is>
      </c>
      <c r="B5" s="8" t="n">
        <v>10</v>
      </c>
      <c r="C5" t="inlineStr">
        <is>
          <t>Recovery erlaubt: Ja</t>
        </is>
      </c>
    </row>
    <row r="6">
      <c r="A6" s="7" t="inlineStr">
        <is>
          <t>CIA-Gewichtung:</t>
        </is>
      </c>
      <c r="B6" s="8" t="inlineStr">
        <is>
          <t>C=0.2, I=0.2, A=0.6</t>
        </is>
      </c>
    </row>
    <row r="7">
      <c r="A7" s="7" t="inlineStr">
        <is>
          <t>E-Wert Ziel:</t>
        </is>
      </c>
      <c r="B7" s="8" t="n">
        <v>17</v>
      </c>
      <c r="C7" t="inlineStr">
        <is>
          <t>KZ Bonus/Malus: +7 / -5</t>
        </is>
      </c>
    </row>
    <row r="9">
      <c r="A9" s="2" t="inlineStr">
        <is>
          <t>Bonus-Maßnahmen für diesen Angriff:</t>
        </is>
      </c>
    </row>
    <row r="10">
      <c r="A10" s="9" t="inlineStr">
        <is>
          <t>M5 (min. Level 2): +3 Reduktion</t>
        </is>
      </c>
      <c r="B10" t="inlineStr">
        <is>
          <t>OT/IT-Segmentierung isoliert Produktion</t>
        </is>
      </c>
    </row>
    <row r="11">
      <c r="A11" s="9" t="inlineStr">
        <is>
          <t>M7 (min. Level 2): +2 Reduktion</t>
        </is>
      </c>
      <c r="B11" t="inlineStr">
        <is>
          <t>Patch Management schließt OT-Schwachstellen</t>
        </is>
      </c>
    </row>
    <row r="14">
      <c r="A14" s="2" t="inlineStr">
        <is>
          <t>Maßnahmen-Eingabe</t>
        </is>
      </c>
    </row>
    <row r="15">
      <c r="A15" s="10" t="inlineStr">
        <is>
          <t>Maßnahme</t>
        </is>
      </c>
      <c r="B15" s="10" t="inlineStr">
        <is>
          <t>Name</t>
        </is>
      </c>
      <c r="C15" s="10" t="inlineStr">
        <is>
          <t>Level</t>
        </is>
      </c>
      <c r="D15" s="11" t="inlineStr">
        <is>
          <t>C</t>
        </is>
      </c>
      <c r="E15" s="12" t="inlineStr">
        <is>
          <t>I</t>
        </is>
      </c>
      <c r="F15" s="13" t="inlineStr">
        <is>
          <t>A</t>
        </is>
      </c>
      <c r="G15" s="10" t="inlineStr">
        <is>
          <t>Init (k€)</t>
        </is>
      </c>
      <c r="H15" s="10" t="inlineStr">
        <is>
          <t>OPEX (k€)</t>
        </is>
      </c>
      <c r="I15" s="10" t="inlineStr">
        <is>
          <t>Recovery</t>
        </is>
      </c>
    </row>
    <row r="16">
      <c r="A16" s="4" t="inlineStr">
        <is>
          <t>M1</t>
        </is>
      </c>
      <c r="B16" s="4" t="inlineStr">
        <is>
          <t>IAM/PAM</t>
        </is>
      </c>
      <c r="C16" s="14" t="n">
        <v>0</v>
      </c>
      <c r="D16" s="15">
        <f>CHOOSE($C$16+1,0,2,4,6)</f>
        <v/>
      </c>
      <c r="E16" s="16">
        <f>CHOOSE($C$16+1,0,1,3,5)</f>
        <v/>
      </c>
      <c r="F16" s="17">
        <f>CHOOSE($C$16+1,0,0,0,1)</f>
        <v/>
      </c>
      <c r="G16" s="5">
        <f>CHOOSE($C$16+1,0,30,60,100)</f>
        <v/>
      </c>
      <c r="H16" s="5">
        <f>CHOOSE($C$16+1,0,4,10,20)</f>
        <v/>
      </c>
      <c r="I16" s="5">
        <f>CHOOSE($C$16+1,0,0,0,0)</f>
        <v/>
      </c>
    </row>
    <row r="17">
      <c r="A17" s="4" t="inlineStr">
        <is>
          <t>M2</t>
        </is>
      </c>
      <c r="B17" s="4" t="inlineStr">
        <is>
          <t>Logging &amp; SIEM/MDR</t>
        </is>
      </c>
      <c r="C17" s="14" t="n">
        <v>0</v>
      </c>
      <c r="D17" s="15">
        <f>CHOOSE($C$17+1,0,1,2,3)</f>
        <v/>
      </c>
      <c r="E17" s="16">
        <f>CHOOSE($C$17+1,0,3,5,7)</f>
        <v/>
      </c>
      <c r="F17" s="17">
        <f>CHOOSE($C$17+1,0,0,1,2)</f>
        <v/>
      </c>
      <c r="G17" s="5">
        <f>CHOOSE($C$17+1,0,20,50,80)</f>
        <v/>
      </c>
      <c r="H17" s="5">
        <f>CHOOSE($C$17+1,0,2,8,24)</f>
        <v/>
      </c>
      <c r="I17" s="5">
        <f>CHOOSE($C$17+1,0,0,0,0)</f>
        <v/>
      </c>
    </row>
    <row r="18">
      <c r="A18" s="4" t="inlineStr">
        <is>
          <t>M3</t>
        </is>
      </c>
      <c r="B18" s="4" t="inlineStr">
        <is>
          <t>EDR/XDR</t>
        </is>
      </c>
      <c r="C18" s="14" t="n">
        <v>0</v>
      </c>
      <c r="D18" s="15">
        <f>CHOOSE($C$18+1,0,3,5,7)</f>
        <v/>
      </c>
      <c r="E18" s="16">
        <f>CHOOSE($C$18+1,0,2,4,6)</f>
        <v/>
      </c>
      <c r="F18" s="17">
        <f>CHOOSE($C$18+1,0,1,2,3)</f>
        <v/>
      </c>
      <c r="G18" s="5">
        <f>CHOOSE($C$18+1,0,24,56,90)</f>
        <v/>
      </c>
      <c r="H18" s="5">
        <f>CHOOSE($C$18+1,0,4,10,18)</f>
        <v/>
      </c>
      <c r="I18" s="5">
        <f>CHOOSE($C$18+1,0,0,0,0)</f>
        <v/>
      </c>
    </row>
    <row r="19">
      <c r="A19" s="4" t="inlineStr">
        <is>
          <t>M4</t>
        </is>
      </c>
      <c r="B19" s="4" t="inlineStr">
        <is>
          <t>Backup &amp; Disaster Recovery</t>
        </is>
      </c>
      <c r="C19" s="14" t="n">
        <v>0</v>
      </c>
      <c r="D19" s="15">
        <f>CHOOSE($C$19+1,0,0,1,1)</f>
        <v/>
      </c>
      <c r="E19" s="16">
        <f>CHOOSE($C$19+1,0,4,6,8)</f>
        <v/>
      </c>
      <c r="F19" s="17">
        <f>CHOOSE($C$19+1,0,3,5,7)</f>
        <v/>
      </c>
      <c r="G19" s="5">
        <f>CHOOSE($C$19+1,0,16,40,80)</f>
        <v/>
      </c>
      <c r="H19" s="5">
        <f>CHOOSE($C$19+1,0,6,12,20)</f>
        <v/>
      </c>
      <c r="I19" s="5">
        <f>CHOOSE($C$19+1,0,0.1,0.3,0.5)</f>
        <v/>
      </c>
    </row>
    <row r="20">
      <c r="A20" s="4" t="inlineStr">
        <is>
          <t>M5</t>
        </is>
      </c>
      <c r="B20" s="4" t="inlineStr">
        <is>
          <t>OT/IT-Netz-Segmentierung</t>
        </is>
      </c>
      <c r="C20" s="14" t="n">
        <v>0</v>
      </c>
      <c r="D20" s="15">
        <f>CHOOSE($C$20+1,0,2,3,4)</f>
        <v/>
      </c>
      <c r="E20" s="16">
        <f>CHOOSE($C$20+1,0,1,2,3)</f>
        <v/>
      </c>
      <c r="F20" s="17">
        <f>CHOOSE($C$20+1,0,4,6,8)</f>
        <v/>
      </c>
      <c r="G20" s="5">
        <f>CHOOSE($C$20+1,0,40,70,110)</f>
        <v/>
      </c>
      <c r="H20" s="5">
        <f>CHOOSE($C$20+1,0,2,6,12)</f>
        <v/>
      </c>
      <c r="I20" s="5">
        <f>CHOOSE($C$20+1,0,0,0,0)</f>
        <v/>
      </c>
    </row>
    <row r="21">
      <c r="A21" s="4" t="inlineStr">
        <is>
          <t>M6</t>
        </is>
      </c>
      <c r="B21" s="4" t="inlineStr">
        <is>
          <t>Security Awareness &amp; Training</t>
        </is>
      </c>
      <c r="C21" s="14" t="n">
        <v>0</v>
      </c>
      <c r="D21" s="15">
        <f>CHOOSE($C$21+1,0,2,3,5)</f>
        <v/>
      </c>
      <c r="E21" s="16">
        <f>CHOOSE($C$21+1,0,1,2,3)</f>
        <v/>
      </c>
      <c r="F21" s="17">
        <f>CHOOSE($C$21+1,0,1,2,3)</f>
        <v/>
      </c>
      <c r="G21" s="5">
        <f>CHOOSE($C$21+1,0,10,24,40)</f>
        <v/>
      </c>
      <c r="H21" s="5">
        <f>CHOOSE($C$21+1,0,2,6,10)</f>
        <v/>
      </c>
      <c r="I21" s="5">
        <f>CHOOSE($C$21+1,0,0,0,0)</f>
        <v/>
      </c>
    </row>
    <row r="22">
      <c r="A22" s="4" t="inlineStr">
        <is>
          <t>M7</t>
        </is>
      </c>
      <c r="B22" s="4" t="inlineStr">
        <is>
          <t>Vulnerability &amp; Patch Management</t>
        </is>
      </c>
      <c r="C22" s="14" t="n">
        <v>0</v>
      </c>
      <c r="D22" s="15">
        <f>CHOOSE($C$22+1,0,2,4,6)</f>
        <v/>
      </c>
      <c r="E22" s="16">
        <f>CHOOSE($C$22+1,0,3,5,7)</f>
        <v/>
      </c>
      <c r="F22" s="17">
        <f>CHOOSE($C$22+1,0,2,3,4)</f>
        <v/>
      </c>
      <c r="G22" s="5">
        <f>CHOOSE($C$22+1,0,20,44,76)</f>
        <v/>
      </c>
      <c r="H22" s="5">
        <f>CHOOSE($C$22+1,0,4,8,14)</f>
        <v/>
      </c>
      <c r="I22" s="5">
        <f>CHOOSE($C$22+1,0,0,0,0)</f>
        <v/>
      </c>
    </row>
    <row r="23">
      <c r="A23" s="4" t="inlineStr">
        <is>
          <t>M8</t>
        </is>
      </c>
      <c r="B23" s="4" t="inlineStr">
        <is>
          <t>Supplier Security &amp; Supply Chain</t>
        </is>
      </c>
      <c r="C23" s="14" t="n">
        <v>0</v>
      </c>
      <c r="D23" s="15">
        <f>CHOOSE($C$23+1,0,1,2,3)</f>
        <v/>
      </c>
      <c r="E23" s="16">
        <f>CHOOSE($C$23+1,0,2,4,6)</f>
        <v/>
      </c>
      <c r="F23" s="17">
        <f>CHOOSE($C$23+1,0,2,4,6)</f>
        <v/>
      </c>
      <c r="G23" s="5">
        <f>CHOOSE($C$23+1,0,16,36,70)</f>
        <v/>
      </c>
      <c r="H23" s="5">
        <f>CHOOSE($C$23+1,0,4,8,16)</f>
        <v/>
      </c>
      <c r="I23" s="5">
        <f>CHOOSE($C$23+1,0,0,0,0)</f>
        <v/>
      </c>
    </row>
    <row r="24">
      <c r="A24" s="4" t="inlineStr">
        <is>
          <t>M9</t>
        </is>
      </c>
      <c r="B24" s="4" t="inlineStr">
        <is>
          <t>Cloud Security (CSPM)</t>
        </is>
      </c>
      <c r="C24" s="14" t="n">
        <v>0</v>
      </c>
      <c r="D24" s="15">
        <f>CHOOSE($C$24+1,0,2,3,4)</f>
        <v/>
      </c>
      <c r="E24" s="16">
        <f>CHOOSE($C$24+1,0,2,3,4)</f>
        <v/>
      </c>
      <c r="F24" s="17">
        <f>CHOOSE($C$24+1,0,1,2,3)</f>
        <v/>
      </c>
      <c r="G24" s="5">
        <f>CHOOSE($C$24+1,0,18,40,70)</f>
        <v/>
      </c>
      <c r="H24" s="5">
        <f>CHOOSE($C$24+1,0,3,7,14)</f>
        <v/>
      </c>
      <c r="I24" s="5">
        <f>CHOOSE($C$24+1,0,0,0,0)</f>
        <v/>
      </c>
    </row>
    <row r="25">
      <c r="A25" s="4" t="inlineStr">
        <is>
          <t>M10</t>
        </is>
      </c>
      <c r="B25" s="4" t="inlineStr">
        <is>
          <t>Mobile Device Management (MDM)</t>
        </is>
      </c>
      <c r="C25" s="14" t="n">
        <v>0</v>
      </c>
      <c r="D25" s="15">
        <f>CHOOSE($C$25+1,0,1,2,3)</f>
        <v/>
      </c>
      <c r="E25" s="16">
        <f>CHOOSE($C$25+1,0,1,2,3)</f>
        <v/>
      </c>
      <c r="F25" s="17">
        <f>CHOOSE($C$25+1,0,0,1,2)</f>
        <v/>
      </c>
      <c r="G25" s="5">
        <f>CHOOSE($C$25+1,0,12,28,50)</f>
        <v/>
      </c>
      <c r="H25" s="5">
        <f>CHOOSE($C$25+1,0,2,5,10)</f>
        <v/>
      </c>
      <c r="I25" s="5">
        <f>CHOOSE($C$25+1,0,0,0,0)</f>
        <v/>
      </c>
    </row>
    <row r="26">
      <c r="A26" s="3" t="inlineStr">
        <is>
          <t>SUMME</t>
        </is>
      </c>
      <c r="B26" s="4" t="n"/>
      <c r="C26" s="4" t="n"/>
      <c r="D26" s="11">
        <f>SUM(D16:D25)</f>
        <v/>
      </c>
      <c r="E26" s="12">
        <f>SUM(E16:E25)</f>
        <v/>
      </c>
      <c r="F26" s="13">
        <f>SUM(F16:F25)</f>
        <v/>
      </c>
      <c r="G26" s="10">
        <f>SUM(G16:G25)</f>
        <v/>
      </c>
      <c r="H26" s="10">
        <f>SUM(H16:H25)</f>
        <v/>
      </c>
      <c r="I26" s="10">
        <f>MAX(I16:I25)</f>
        <v/>
      </c>
    </row>
    <row r="29">
      <c r="A29" s="2" t="inlineStr">
        <is>
          <t>Berechnungsergebnis</t>
        </is>
      </c>
    </row>
    <row r="30">
      <c r="A30" s="18" t="inlineStr">
        <is>
          <t>Basis-CIA:</t>
        </is>
      </c>
      <c r="B30" t="inlineStr">
        <is>
          <t>C=10, I=10, A=10</t>
        </is>
      </c>
    </row>
    <row r="31">
      <c r="A31" s="18" t="inlineStr">
        <is>
          <t>Team CIA (Basis + Maßnahmen):</t>
        </is>
      </c>
      <c r="B31" t="inlineStr">
        <is>
          <t>C:</t>
        </is>
      </c>
      <c r="C31" s="19">
        <f>10+D26</f>
        <v/>
      </c>
      <c r="D31" t="inlineStr">
        <is>
          <t>I:</t>
        </is>
      </c>
      <c r="E31" s="19">
        <f>10+E26</f>
        <v/>
      </c>
      <c r="F31" t="inlineStr">
        <is>
          <t>A:</t>
        </is>
      </c>
      <c r="G31" s="19">
        <f>10+F26</f>
        <v/>
      </c>
    </row>
    <row r="33">
      <c r="A33" s="18" t="inlineStr">
        <is>
          <t>E-Wert Berechnung:</t>
        </is>
      </c>
      <c r="B33" t="inlineStr">
        <is>
          <t>(0.2×C) + (0.2×I) + (0.6×A)</t>
        </is>
      </c>
    </row>
    <row r="34">
      <c r="A34" s="18" t="inlineStr">
        <is>
          <t>E-Wert:</t>
        </is>
      </c>
      <c r="B34" s="20">
        <f>(0.2*C31)+(0.2*E31)+(0.6*G31)</f>
        <v/>
      </c>
      <c r="C34" t="inlineStr">
        <is>
          <t>Ziel: 17</t>
        </is>
      </c>
      <c r="D34" t="inlineStr">
        <is>
          <t>Erreicht:</t>
        </is>
      </c>
      <c r="E34" s="19">
        <f>IF(B34&gt;=17,"JA","NEIN")</f>
        <v/>
      </c>
    </row>
    <row r="36">
      <c r="A36" s="18" t="inlineStr">
        <is>
          <t>Bonus-Reduktion (spezifische Maßnahmen):</t>
        </is>
      </c>
    </row>
    <row r="37">
      <c r="A37" s="18" t="inlineStr">
        <is>
          <t>Bonus-Reduktion:</t>
        </is>
      </c>
      <c r="B37" s="21">
        <f>IF(C20&gt;=2,3,0)+IF(C22&gt;=2,2,0)</f>
        <v/>
      </c>
    </row>
    <row r="39">
      <c r="A39" s="18" t="inlineStr">
        <is>
          <t>E-Wert Reduktion:</t>
        </is>
      </c>
      <c r="B39">
        <f>MAX(0,(B34-17)/1)</f>
        <v/>
      </c>
    </row>
    <row r="40">
      <c r="A40" s="18" t="inlineStr">
        <is>
          <t>Gesamt-Reduktion:</t>
        </is>
      </c>
      <c r="B40" s="4">
        <f>B39+B37</f>
        <v/>
      </c>
    </row>
    <row r="41">
      <c r="A41" s="18" t="inlineStr">
        <is>
          <t>Reduktion (mit Cap):</t>
        </is>
      </c>
      <c r="B41" s="19">
        <f>MIN(B40,10)</f>
        <v/>
      </c>
    </row>
    <row r="43">
      <c r="A43" s="18" t="inlineStr">
        <is>
          <t>Finaler Schweregrad:</t>
        </is>
      </c>
      <c r="B43" s="19">
        <f>MAX(0,10-B41)</f>
        <v/>
      </c>
    </row>
    <row r="44">
      <c r="A44" s="18" t="inlineStr">
        <is>
          <t>Schaden (vor Recovery):</t>
        </is>
      </c>
      <c r="B44" s="22">
        <f>B43*32</f>
        <v/>
      </c>
    </row>
    <row r="45">
      <c r="A45" s="18" t="inlineStr">
        <is>
          <t>Recovery-Faktor:</t>
        </is>
      </c>
      <c r="B45" s="23">
        <f>I26</f>
        <v/>
      </c>
    </row>
    <row r="46">
      <c r="A46" s="24" t="inlineStr">
        <is>
          <t>Schaden (nach Recovery):</t>
        </is>
      </c>
      <c r="B46" s="25">
        <f>B44*(1-B45)</f>
        <v/>
      </c>
    </row>
    <row r="48">
      <c r="A48" s="2" t="inlineStr">
        <is>
          <t>Kundenvertrauen (KZ) Impact:</t>
        </is>
      </c>
    </row>
    <row r="49">
      <c r="A49" s="18" t="inlineStr">
        <is>
          <t>KZ-Verlust durch Angriff:</t>
        </is>
      </c>
      <c r="B49" s="4">
        <f>-B43*2</f>
        <v/>
      </c>
    </row>
    <row r="50">
      <c r="A50" s="18" t="inlineStr">
        <is>
          <t>KZ E-Wert Bonus/Malus:</t>
        </is>
      </c>
      <c r="B50" s="4">
        <f>IF(B34&gt;=17,7,-5)</f>
        <v/>
      </c>
    </row>
    <row r="51">
      <c r="A51" s="18" t="inlineStr">
        <is>
          <t>Gesamt KZ-Delta:</t>
        </is>
      </c>
      <c r="B51" s="26">
        <f>B49+B50</f>
        <v/>
      </c>
    </row>
    <row r="53">
      <c r="A53" s="2" t="inlineStr">
        <is>
          <t>Kosten:</t>
        </is>
      </c>
    </row>
    <row r="54">
      <c r="A54" s="18" t="inlineStr">
        <is>
          <t>Initiale Investition:</t>
        </is>
      </c>
      <c r="B54" s="22">
        <f>G26</f>
        <v/>
      </c>
    </row>
    <row r="55">
      <c r="A55" s="18" t="inlineStr">
        <is>
          <t>OPEX pro Welle:</t>
        </is>
      </c>
      <c r="B55" s="22">
        <f>H26</f>
        <v/>
      </c>
    </row>
  </sheetData>
  <mergeCells count="1">
    <mergeCell ref="A1:L1"/>
  </mergeCells>
  <dataValidations count="1">
    <dataValidation sqref="C16 C17 C18 C19 C20 C21 C22 C23 C24 C25" showDropDown="0" showInputMessage="0" showErrorMessage="0" allowBlank="0" errorTitle="Ungültiger Level" error="Bitte einen Wert zwischen 0 und 3 eingeben." type="whole" operator="between">
      <formula1>0</formula1>
      <formula2>3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0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Angriff Welle 3: Exfiltration</t>
        </is>
      </c>
    </row>
    <row r="3">
      <c r="A3" s="2" t="inlineStr">
        <is>
          <t>Angriffsparameter</t>
        </is>
      </c>
    </row>
    <row r="4">
      <c r="A4" s="7" t="inlineStr">
        <is>
          <t>Basis-Schweregrad:</t>
        </is>
      </c>
      <c r="B4" s="8" t="n">
        <v>7</v>
      </c>
      <c r="C4" t="inlineStr">
        <is>
          <t>Schadenseinheit: 20k EUR</t>
        </is>
      </c>
    </row>
    <row r="5">
      <c r="A5" s="7" t="inlineStr">
        <is>
          <t>Mitigation Cap:</t>
        </is>
      </c>
      <c r="B5" s="8" t="n">
        <v>7</v>
      </c>
      <c r="C5" t="inlineStr">
        <is>
          <t>Recovery erlaubt: Nein</t>
        </is>
      </c>
    </row>
    <row r="6">
      <c r="A6" s="7" t="inlineStr">
        <is>
          <t>CIA-Gewichtung:</t>
        </is>
      </c>
      <c r="B6" s="8" t="inlineStr">
        <is>
          <t>C=0.5, I=0.3, A=0.2</t>
        </is>
      </c>
    </row>
    <row r="7">
      <c r="A7" s="7" t="inlineStr">
        <is>
          <t>E-Wert Ziel:</t>
        </is>
      </c>
      <c r="B7" s="8" t="n">
        <v>19</v>
      </c>
      <c r="C7" t="inlineStr">
        <is>
          <t>KZ Bonus/Malus: +10 / -7</t>
        </is>
      </c>
    </row>
    <row r="9">
      <c r="A9" s="2" t="inlineStr">
        <is>
          <t>Bonus-Maßnahmen für diesen Angriff:</t>
        </is>
      </c>
    </row>
    <row r="10">
      <c r="A10" s="9" t="inlineStr">
        <is>
          <t>M1 (min. Level 2): +2 Reduktion</t>
        </is>
      </c>
      <c r="B10" t="inlineStr">
        <is>
          <t>IAM/PAM verhindert unbefugten Zugriff</t>
        </is>
      </c>
    </row>
    <row r="11">
      <c r="A11" s="9" t="inlineStr">
        <is>
          <t>M2 (min. Level 2): +2 Reduktion</t>
        </is>
      </c>
      <c r="B11" t="inlineStr">
        <is>
          <t>SIEM erkennt Datenabfluss</t>
        </is>
      </c>
    </row>
    <row r="12">
      <c r="A12" s="9" t="inlineStr">
        <is>
          <t>M8 (min. Level 2): +1 Reduktion</t>
        </is>
      </c>
      <c r="B12" t="inlineStr">
        <is>
          <t>Supply Chain Security schützt Schnittstellen</t>
        </is>
      </c>
    </row>
    <row r="15">
      <c r="A15" s="2" t="inlineStr">
        <is>
          <t>Maßnahmen-Eingabe</t>
        </is>
      </c>
    </row>
    <row r="16">
      <c r="A16" s="10" t="inlineStr">
        <is>
          <t>Maßnahme</t>
        </is>
      </c>
      <c r="B16" s="10" t="inlineStr">
        <is>
          <t>Name</t>
        </is>
      </c>
      <c r="C16" s="10" t="inlineStr">
        <is>
          <t>Level</t>
        </is>
      </c>
      <c r="D16" s="11" t="inlineStr">
        <is>
          <t>C</t>
        </is>
      </c>
      <c r="E16" s="12" t="inlineStr">
        <is>
          <t>I</t>
        </is>
      </c>
      <c r="F16" s="13" t="inlineStr">
        <is>
          <t>A</t>
        </is>
      </c>
      <c r="G16" s="10" t="inlineStr">
        <is>
          <t>Init (k€)</t>
        </is>
      </c>
      <c r="H16" s="10" t="inlineStr">
        <is>
          <t>OPEX (k€)</t>
        </is>
      </c>
      <c r="I16" s="10" t="inlineStr">
        <is>
          <t>Recovery</t>
        </is>
      </c>
    </row>
    <row r="17">
      <c r="A17" s="4" t="inlineStr">
        <is>
          <t>M1</t>
        </is>
      </c>
      <c r="B17" s="4" t="inlineStr">
        <is>
          <t>IAM/PAM</t>
        </is>
      </c>
      <c r="C17" s="14" t="n">
        <v>0</v>
      </c>
      <c r="D17" s="15">
        <f>CHOOSE($C$17+1,0,2,4,6)</f>
        <v/>
      </c>
      <c r="E17" s="16">
        <f>CHOOSE($C$17+1,0,1,3,5)</f>
        <v/>
      </c>
      <c r="F17" s="17">
        <f>CHOOSE($C$17+1,0,0,0,1)</f>
        <v/>
      </c>
      <c r="G17" s="5">
        <f>CHOOSE($C$17+1,0,30,60,100)</f>
        <v/>
      </c>
      <c r="H17" s="5">
        <f>CHOOSE($C$17+1,0,4,10,20)</f>
        <v/>
      </c>
      <c r="I17" s="5">
        <f>CHOOSE($C$17+1,0,0,0,0)</f>
        <v/>
      </c>
    </row>
    <row r="18">
      <c r="A18" s="4" t="inlineStr">
        <is>
          <t>M2</t>
        </is>
      </c>
      <c r="B18" s="4" t="inlineStr">
        <is>
          <t>Logging &amp; SIEM/MDR</t>
        </is>
      </c>
      <c r="C18" s="14" t="n">
        <v>0</v>
      </c>
      <c r="D18" s="15">
        <f>CHOOSE($C$18+1,0,1,2,3)</f>
        <v/>
      </c>
      <c r="E18" s="16">
        <f>CHOOSE($C$18+1,0,3,5,7)</f>
        <v/>
      </c>
      <c r="F18" s="17">
        <f>CHOOSE($C$18+1,0,0,1,2)</f>
        <v/>
      </c>
      <c r="G18" s="5">
        <f>CHOOSE($C$18+1,0,20,50,80)</f>
        <v/>
      </c>
      <c r="H18" s="5">
        <f>CHOOSE($C$18+1,0,2,8,24)</f>
        <v/>
      </c>
      <c r="I18" s="5">
        <f>CHOOSE($C$18+1,0,0,0,0)</f>
        <v/>
      </c>
    </row>
    <row r="19">
      <c r="A19" s="4" t="inlineStr">
        <is>
          <t>M3</t>
        </is>
      </c>
      <c r="B19" s="4" t="inlineStr">
        <is>
          <t>EDR/XDR</t>
        </is>
      </c>
      <c r="C19" s="14" t="n">
        <v>0</v>
      </c>
      <c r="D19" s="15">
        <f>CHOOSE($C$19+1,0,3,5,7)</f>
        <v/>
      </c>
      <c r="E19" s="16">
        <f>CHOOSE($C$19+1,0,2,4,6)</f>
        <v/>
      </c>
      <c r="F19" s="17">
        <f>CHOOSE($C$19+1,0,1,2,3)</f>
        <v/>
      </c>
      <c r="G19" s="5">
        <f>CHOOSE($C$19+1,0,24,56,90)</f>
        <v/>
      </c>
      <c r="H19" s="5">
        <f>CHOOSE($C$19+1,0,4,10,18)</f>
        <v/>
      </c>
      <c r="I19" s="5">
        <f>CHOOSE($C$19+1,0,0,0,0)</f>
        <v/>
      </c>
    </row>
    <row r="20">
      <c r="A20" s="4" t="inlineStr">
        <is>
          <t>M4</t>
        </is>
      </c>
      <c r="B20" s="4" t="inlineStr">
        <is>
          <t>Backup &amp; Disaster Recovery</t>
        </is>
      </c>
      <c r="C20" s="14" t="n">
        <v>0</v>
      </c>
      <c r="D20" s="15">
        <f>CHOOSE($C$20+1,0,0,1,1)</f>
        <v/>
      </c>
      <c r="E20" s="16">
        <f>CHOOSE($C$20+1,0,4,6,8)</f>
        <v/>
      </c>
      <c r="F20" s="17">
        <f>CHOOSE($C$20+1,0,3,5,7)</f>
        <v/>
      </c>
      <c r="G20" s="5">
        <f>CHOOSE($C$20+1,0,16,40,80)</f>
        <v/>
      </c>
      <c r="H20" s="5">
        <f>CHOOSE($C$20+1,0,6,12,20)</f>
        <v/>
      </c>
      <c r="I20" s="5">
        <f>CHOOSE($C$20+1,0,0.1,0.3,0.5)</f>
        <v/>
      </c>
    </row>
    <row r="21">
      <c r="A21" s="4" t="inlineStr">
        <is>
          <t>M5</t>
        </is>
      </c>
      <c r="B21" s="4" t="inlineStr">
        <is>
          <t>OT/IT-Netz-Segmentierung</t>
        </is>
      </c>
      <c r="C21" s="14" t="n">
        <v>0</v>
      </c>
      <c r="D21" s="15">
        <f>CHOOSE($C$21+1,0,2,3,4)</f>
        <v/>
      </c>
      <c r="E21" s="16">
        <f>CHOOSE($C$21+1,0,1,2,3)</f>
        <v/>
      </c>
      <c r="F21" s="17">
        <f>CHOOSE($C$21+1,0,4,6,8)</f>
        <v/>
      </c>
      <c r="G21" s="5">
        <f>CHOOSE($C$21+1,0,40,70,110)</f>
        <v/>
      </c>
      <c r="H21" s="5">
        <f>CHOOSE($C$21+1,0,2,6,12)</f>
        <v/>
      </c>
      <c r="I21" s="5">
        <f>CHOOSE($C$21+1,0,0,0,0)</f>
        <v/>
      </c>
    </row>
    <row r="22">
      <c r="A22" s="4" t="inlineStr">
        <is>
          <t>M6</t>
        </is>
      </c>
      <c r="B22" s="4" t="inlineStr">
        <is>
          <t>Security Awareness &amp; Training</t>
        </is>
      </c>
      <c r="C22" s="14" t="n">
        <v>0</v>
      </c>
      <c r="D22" s="15">
        <f>CHOOSE($C$22+1,0,2,3,5)</f>
        <v/>
      </c>
      <c r="E22" s="16">
        <f>CHOOSE($C$22+1,0,1,2,3)</f>
        <v/>
      </c>
      <c r="F22" s="17">
        <f>CHOOSE($C$22+1,0,1,2,3)</f>
        <v/>
      </c>
      <c r="G22" s="5">
        <f>CHOOSE($C$22+1,0,10,24,40)</f>
        <v/>
      </c>
      <c r="H22" s="5">
        <f>CHOOSE($C$22+1,0,2,6,10)</f>
        <v/>
      </c>
      <c r="I22" s="5">
        <f>CHOOSE($C$22+1,0,0,0,0)</f>
        <v/>
      </c>
    </row>
    <row r="23">
      <c r="A23" s="4" t="inlineStr">
        <is>
          <t>M7</t>
        </is>
      </c>
      <c r="B23" s="4" t="inlineStr">
        <is>
          <t>Vulnerability &amp; Patch Management</t>
        </is>
      </c>
      <c r="C23" s="14" t="n">
        <v>0</v>
      </c>
      <c r="D23" s="15">
        <f>CHOOSE($C$23+1,0,2,4,6)</f>
        <v/>
      </c>
      <c r="E23" s="16">
        <f>CHOOSE($C$23+1,0,3,5,7)</f>
        <v/>
      </c>
      <c r="F23" s="17">
        <f>CHOOSE($C$23+1,0,2,3,4)</f>
        <v/>
      </c>
      <c r="G23" s="5">
        <f>CHOOSE($C$23+1,0,20,44,76)</f>
        <v/>
      </c>
      <c r="H23" s="5">
        <f>CHOOSE($C$23+1,0,4,8,14)</f>
        <v/>
      </c>
      <c r="I23" s="5">
        <f>CHOOSE($C$23+1,0,0,0,0)</f>
        <v/>
      </c>
    </row>
    <row r="24">
      <c r="A24" s="4" t="inlineStr">
        <is>
          <t>M8</t>
        </is>
      </c>
      <c r="B24" s="4" t="inlineStr">
        <is>
          <t>Supplier Security &amp; Supply Chain</t>
        </is>
      </c>
      <c r="C24" s="14" t="n">
        <v>0</v>
      </c>
      <c r="D24" s="15">
        <f>CHOOSE($C$24+1,0,1,2,3)</f>
        <v/>
      </c>
      <c r="E24" s="16">
        <f>CHOOSE($C$24+1,0,2,4,6)</f>
        <v/>
      </c>
      <c r="F24" s="17">
        <f>CHOOSE($C$24+1,0,2,4,6)</f>
        <v/>
      </c>
      <c r="G24" s="5">
        <f>CHOOSE($C$24+1,0,16,36,70)</f>
        <v/>
      </c>
      <c r="H24" s="5">
        <f>CHOOSE($C$24+1,0,4,8,16)</f>
        <v/>
      </c>
      <c r="I24" s="5">
        <f>CHOOSE($C$24+1,0,0,0,0)</f>
        <v/>
      </c>
    </row>
    <row r="25">
      <c r="A25" s="4" t="inlineStr">
        <is>
          <t>M9</t>
        </is>
      </c>
      <c r="B25" s="4" t="inlineStr">
        <is>
          <t>Cloud Security (CSPM)</t>
        </is>
      </c>
      <c r="C25" s="14" t="n">
        <v>0</v>
      </c>
      <c r="D25" s="15">
        <f>CHOOSE($C$25+1,0,2,3,4)</f>
        <v/>
      </c>
      <c r="E25" s="16">
        <f>CHOOSE($C$25+1,0,2,3,4)</f>
        <v/>
      </c>
      <c r="F25" s="17">
        <f>CHOOSE($C$25+1,0,1,2,3)</f>
        <v/>
      </c>
      <c r="G25" s="5">
        <f>CHOOSE($C$25+1,0,18,40,70)</f>
        <v/>
      </c>
      <c r="H25" s="5">
        <f>CHOOSE($C$25+1,0,3,7,14)</f>
        <v/>
      </c>
      <c r="I25" s="5">
        <f>CHOOSE($C$25+1,0,0,0,0)</f>
        <v/>
      </c>
    </row>
    <row r="26">
      <c r="A26" s="4" t="inlineStr">
        <is>
          <t>M10</t>
        </is>
      </c>
      <c r="B26" s="4" t="inlineStr">
        <is>
          <t>Mobile Device Management (MDM)</t>
        </is>
      </c>
      <c r="C26" s="14" t="n">
        <v>0</v>
      </c>
      <c r="D26" s="15">
        <f>CHOOSE($C$26+1,0,1,2,3)</f>
        <v/>
      </c>
      <c r="E26" s="16">
        <f>CHOOSE($C$26+1,0,1,2,3)</f>
        <v/>
      </c>
      <c r="F26" s="17">
        <f>CHOOSE($C$26+1,0,0,1,2)</f>
        <v/>
      </c>
      <c r="G26" s="5">
        <f>CHOOSE($C$26+1,0,12,28,50)</f>
        <v/>
      </c>
      <c r="H26" s="5">
        <f>CHOOSE($C$26+1,0,2,5,10)</f>
        <v/>
      </c>
      <c r="I26" s="5">
        <f>CHOOSE($C$26+1,0,0,0,0)</f>
        <v/>
      </c>
    </row>
    <row r="27">
      <c r="A27" s="3" t="inlineStr">
        <is>
          <t>SUMME</t>
        </is>
      </c>
      <c r="B27" s="4" t="n"/>
      <c r="C27" s="4" t="n"/>
      <c r="D27" s="11">
        <f>SUM(D17:D26)</f>
        <v/>
      </c>
      <c r="E27" s="12">
        <f>SUM(E17:E26)</f>
        <v/>
      </c>
      <c r="F27" s="13">
        <f>SUM(F17:F26)</f>
        <v/>
      </c>
      <c r="G27" s="10">
        <f>SUM(G17:G26)</f>
        <v/>
      </c>
      <c r="H27" s="10">
        <f>SUM(H17:H26)</f>
        <v/>
      </c>
      <c r="I27" s="10">
        <f>MAX(I17:I26)</f>
        <v/>
      </c>
    </row>
    <row r="30">
      <c r="A30" s="2" t="inlineStr">
        <is>
          <t>Berechnungsergebnis</t>
        </is>
      </c>
    </row>
    <row r="31">
      <c r="A31" s="18" t="inlineStr">
        <is>
          <t>Basis-CIA:</t>
        </is>
      </c>
      <c r="B31" t="inlineStr">
        <is>
          <t>C=10, I=10, A=10</t>
        </is>
      </c>
    </row>
    <row r="32">
      <c r="A32" s="18" t="inlineStr">
        <is>
          <t>Team CIA (Basis + Maßnahmen):</t>
        </is>
      </c>
      <c r="B32" t="inlineStr">
        <is>
          <t>C:</t>
        </is>
      </c>
      <c r="C32" s="19">
        <f>10+D27</f>
        <v/>
      </c>
      <c r="D32" t="inlineStr">
        <is>
          <t>I:</t>
        </is>
      </c>
      <c r="E32" s="19">
        <f>10+E27</f>
        <v/>
      </c>
      <c r="F32" t="inlineStr">
        <is>
          <t>A:</t>
        </is>
      </c>
      <c r="G32" s="19">
        <f>10+F27</f>
        <v/>
      </c>
    </row>
    <row r="34">
      <c r="A34" s="18" t="inlineStr">
        <is>
          <t>E-Wert Berechnung:</t>
        </is>
      </c>
      <c r="B34" t="inlineStr">
        <is>
          <t>(0.5×C) + (0.3×I) + (0.2×A)</t>
        </is>
      </c>
    </row>
    <row r="35">
      <c r="A35" s="18" t="inlineStr">
        <is>
          <t>E-Wert:</t>
        </is>
      </c>
      <c r="B35" s="20">
        <f>(0.5*C32)+(0.3*E32)+(0.2*G32)</f>
        <v/>
      </c>
      <c r="C35" t="inlineStr">
        <is>
          <t>Ziel: 19</t>
        </is>
      </c>
      <c r="D35" t="inlineStr">
        <is>
          <t>Erreicht:</t>
        </is>
      </c>
      <c r="E35" s="19">
        <f>IF(B35&gt;=19,"JA","NEIN")</f>
        <v/>
      </c>
    </row>
    <row r="37">
      <c r="A37" s="18" t="inlineStr">
        <is>
          <t>Bonus-Reduktion (spezifische Maßnahmen):</t>
        </is>
      </c>
    </row>
    <row r="38">
      <c r="A38" s="18" t="inlineStr">
        <is>
          <t>Bonus-Reduktion:</t>
        </is>
      </c>
      <c r="B38" s="21">
        <f>IF(C17&gt;=2,2,0)+IF(C18&gt;=2,2,0)+IF(C24&gt;=2,1,0)</f>
        <v/>
      </c>
    </row>
    <row r="40">
      <c r="A40" s="18" t="inlineStr">
        <is>
          <t>E-Wert Reduktion:</t>
        </is>
      </c>
      <c r="B40">
        <f>MAX(0,(B35-19)/1)</f>
        <v/>
      </c>
    </row>
    <row r="41">
      <c r="A41" s="18" t="inlineStr">
        <is>
          <t>Gesamt-Reduktion:</t>
        </is>
      </c>
      <c r="B41" s="4">
        <f>B40+B38</f>
        <v/>
      </c>
    </row>
    <row r="42">
      <c r="A42" s="18" t="inlineStr">
        <is>
          <t>Reduktion (mit Cap):</t>
        </is>
      </c>
      <c r="B42" s="19">
        <f>MIN(B41,7)</f>
        <v/>
      </c>
    </row>
    <row r="44">
      <c r="A44" s="18" t="inlineStr">
        <is>
          <t>Finaler Schweregrad:</t>
        </is>
      </c>
      <c r="B44" s="19">
        <f>MAX(0,7-B42)</f>
        <v/>
      </c>
    </row>
    <row r="45">
      <c r="A45" s="18" t="inlineStr">
        <is>
          <t>Schaden (vor Recovery):</t>
        </is>
      </c>
      <c r="B45" s="22">
        <f>B44*20</f>
        <v/>
      </c>
    </row>
    <row r="46">
      <c r="A46" s="27" t="inlineStr">
        <is>
          <t>Recovery nicht möglich</t>
        </is>
      </c>
    </row>
    <row r="47">
      <c r="A47" s="24" t="inlineStr">
        <is>
          <t>Finaler Schaden:</t>
        </is>
      </c>
      <c r="B47" s="25">
        <f>B45</f>
        <v/>
      </c>
    </row>
    <row r="49">
      <c r="A49" s="2" t="inlineStr">
        <is>
          <t>Kundenvertrauen (KZ) Impact:</t>
        </is>
      </c>
    </row>
    <row r="50">
      <c r="A50" s="18" t="inlineStr">
        <is>
          <t>KZ-Verlust durch Angriff:</t>
        </is>
      </c>
      <c r="B50" s="4">
        <f>-B44*2</f>
        <v/>
      </c>
    </row>
    <row r="51">
      <c r="A51" s="18" t="inlineStr">
        <is>
          <t>KZ E-Wert Bonus/Malus:</t>
        </is>
      </c>
      <c r="B51" s="4">
        <f>IF(B35&gt;=19,10,-7)</f>
        <v/>
      </c>
    </row>
    <row r="52">
      <c r="A52" s="18" t="inlineStr">
        <is>
          <t>Gesamt KZ-Delta:</t>
        </is>
      </c>
      <c r="B52" s="26">
        <f>B50+B51</f>
        <v/>
      </c>
    </row>
    <row r="54">
      <c r="A54" s="2" t="inlineStr">
        <is>
          <t>Kosten:</t>
        </is>
      </c>
    </row>
    <row r="55">
      <c r="A55" s="18" t="inlineStr">
        <is>
          <t>Initiale Investition:</t>
        </is>
      </c>
      <c r="B55" s="22">
        <f>G27</f>
        <v/>
      </c>
    </row>
    <row r="56">
      <c r="A56" s="18" t="inlineStr">
        <is>
          <t>OPEX pro Welle:</t>
        </is>
      </c>
      <c r="B56" s="22">
        <f>H27</f>
        <v/>
      </c>
    </row>
  </sheetData>
  <mergeCells count="1">
    <mergeCell ref="A1:L1"/>
  </mergeCells>
  <dataValidations count="1">
    <dataValidation sqref="C17 C18 C19 C20 C21 C22 C23 C24 C25 C26" showDropDown="0" showInputMessage="0" showErrorMessage="0" allowBlank="0" errorTitle="Ungültiger Level" error="Bitte einen Wert zwischen 0 und 3 eingeben." type="whole" operator="between">
      <formula1>0</formula1>
      <formula2>3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2026-01-27T15:07:18Z</dcterms:created>
  <dcterms:modified xsi:type="dcterms:W3CDTF">2026-01-27T15:07:18Z</dcterms:modified>
</cp:coreProperties>
</file>